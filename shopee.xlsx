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vannguyenthanh\Desktop\"/>
    </mc:Choice>
  </mc:AlternateContent>
  <xr:revisionPtr revIDLastSave="0" documentId="13_ncr:1_{73DC9E40-9F6B-4A68-86E3-1EE0FC92498B}" xr6:coauthVersionLast="47" xr6:coauthVersionMax="47" xr10:uidLastSave="{00000000-0000-0000-0000-000000000000}"/>
  <bookViews>
    <workbookView xWindow="-110" yWindow="-110" windowWidth="19420" windowHeight="10420" xr2:uid="{F29ACADB-FA23-47F0-A7DC-AC37E88EA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1" l="1"/>
  <c r="G6" i="1"/>
  <c r="G5" i="1"/>
  <c r="G4" i="1"/>
  <c r="G2" i="1"/>
  <c r="G3" i="1"/>
</calcChain>
</file>

<file path=xl/sharedStrings.xml><?xml version="1.0" encoding="utf-8"?>
<sst xmlns="http://schemas.openxmlformats.org/spreadsheetml/2006/main" count="276" uniqueCount="118">
  <si>
    <t>Ngày</t>
  </si>
  <si>
    <t>Nội dung</t>
  </si>
  <si>
    <t>Tiền</t>
  </si>
  <si>
    <t>Loại</t>
  </si>
  <si>
    <t>Tổng</t>
  </si>
  <si>
    <t>Thẻ tín dụng</t>
  </si>
  <si>
    <t>Tiền mặt</t>
  </si>
  <si>
    <t>Spaylater</t>
  </si>
  <si>
    <t>10kg gạo</t>
  </si>
  <si>
    <t>Nước lau nhà</t>
  </si>
  <si>
    <t>Móc treo</t>
  </si>
  <si>
    <t>ShopeePay</t>
  </si>
  <si>
    <t>Viewvet</t>
  </si>
  <si>
    <t>Lược chải lông</t>
  </si>
  <si>
    <t>Chà gót</t>
  </si>
  <si>
    <t>Sách động từ bqt</t>
  </si>
  <si>
    <t>Ếch</t>
  </si>
  <si>
    <t>Giải độc gan</t>
  </si>
  <si>
    <t>Kẹp bướm</t>
  </si>
  <si>
    <t>Hạt thức ăn</t>
  </si>
  <si>
    <t>3 túi rác</t>
  </si>
  <si>
    <t>Lồng đèn</t>
  </si>
  <si>
    <t>Túi chườm lạnh</t>
  </si>
  <si>
    <t>Nước giặt</t>
  </si>
  <si>
    <t>Thẻ gấp</t>
  </si>
  <si>
    <t>Dao cạo râu</t>
  </si>
  <si>
    <t>Cây lăn bụi</t>
  </si>
  <si>
    <t>Dũa móng</t>
  </si>
  <si>
    <t>Dụng cụ đeo len</t>
  </si>
  <si>
    <t>Thun tóc</t>
  </si>
  <si>
    <t>Khăn lau bếp</t>
  </si>
  <si>
    <t>Sách tô màu</t>
  </si>
  <si>
    <t>Bàn chải bé</t>
  </si>
  <si>
    <t>Muỗng ăn dặm</t>
  </si>
  <si>
    <t>Tông đơ cắt lông mũi</t>
  </si>
  <si>
    <t>Vịt thả bồn</t>
  </si>
  <si>
    <t>Gel bịt mắt</t>
  </si>
  <si>
    <t>linh tinh</t>
  </si>
  <si>
    <t>Lót mũ bảo hiểm</t>
  </si>
  <si>
    <t>Sách từ vựng</t>
  </si>
  <si>
    <t>V.Rohto</t>
  </si>
  <si>
    <t>Móng giả</t>
  </si>
  <si>
    <t>Vớ lót lông</t>
  </si>
  <si>
    <t>Bàn chải cọ</t>
  </si>
  <si>
    <t>Lục lạc</t>
  </si>
  <si>
    <t>Viên vệ sinh</t>
  </si>
  <si>
    <t>Khoen tròn</t>
  </si>
  <si>
    <t>Nước xả</t>
  </si>
  <si>
    <t>TK ngân hàng lk</t>
  </si>
  <si>
    <t>Bao tay</t>
  </si>
  <si>
    <t>Khăn ướt</t>
  </si>
  <si>
    <t>Khăn khô</t>
  </si>
  <si>
    <t>Flashcard</t>
  </si>
  <si>
    <t>Son lì</t>
  </si>
  <si>
    <t>Bình xịt</t>
  </si>
  <si>
    <t>Máy đo tim thai</t>
  </si>
  <si>
    <t>Cọ bình</t>
  </si>
  <si>
    <t>Bộ lấy ráy</t>
  </si>
  <si>
    <t>Giấy lót nồi</t>
  </si>
  <si>
    <t>Màng bọc</t>
  </si>
  <si>
    <t>Nui chiên</t>
  </si>
  <si>
    <t>Nước xúc miệng</t>
  </si>
  <si>
    <t>Máy đun</t>
  </si>
  <si>
    <t>Ghẹ sữa</t>
  </si>
  <si>
    <t>Bún tươi</t>
  </si>
  <si>
    <t>Kem chống hăm</t>
  </si>
  <si>
    <t>Quần lót nam</t>
  </si>
  <si>
    <t>https://shopee.vn/user/purchase/order/207198544252589?type=6</t>
  </si>
  <si>
    <t>Băng vs</t>
  </si>
  <si>
    <t>Móc dán</t>
  </si>
  <si>
    <t>Tắm gội bé</t>
  </si>
  <si>
    <t>Chiếu lót</t>
  </si>
  <si>
    <t>Miếng lót sơ sinh</t>
  </si>
  <si>
    <t>Khăn tắm</t>
  </si>
  <si>
    <t>Sữa tươi KUN</t>
  </si>
  <si>
    <t>Áo cho bé</t>
  </si>
  <si>
    <t>Canxi</t>
  </si>
  <si>
    <t>Kẹp ga giường</t>
  </si>
  <si>
    <t>Chậu rửa</t>
  </si>
  <si>
    <t>Chậu ếch</t>
  </si>
  <si>
    <t>https://shopee.vn/user/purchase/order/205783973258750?type=6</t>
  </si>
  <si>
    <t>Viên mọc tóc</t>
  </si>
  <si>
    <t>Tai nghe</t>
  </si>
  <si>
    <t>Tăm bông</t>
  </si>
  <si>
    <t>Bổ sung chó mèo</t>
  </si>
  <si>
    <t>Thả bồn cầu</t>
  </si>
  <si>
    <t>Nước súc miệng</t>
  </si>
  <si>
    <t>Chậu gội đầu</t>
  </si>
  <si>
    <t>Vỏ gối</t>
  </si>
  <si>
    <t>Bộ ga</t>
  </si>
  <si>
    <t>Sơn bóng</t>
  </si>
  <si>
    <t>Sữa rửa mặt</t>
  </si>
  <si>
    <t>DHA</t>
  </si>
  <si>
    <t>Sữa tắm</t>
  </si>
  <si>
    <t>Dầu gội</t>
  </si>
  <si>
    <t>Bánh cốm</t>
  </si>
  <si>
    <t>Khẩu trang</t>
  </si>
  <si>
    <t>Bông tắm</t>
  </si>
  <si>
    <t>Máy xông mũi</t>
  </si>
  <si>
    <t>Son dưỡng</t>
  </si>
  <si>
    <t>https://shopee.vn/user/purchase/order/197924484281999?type=6</t>
  </si>
  <si>
    <t>Bánh sữa chua</t>
  </si>
  <si>
    <t>Fefovit</t>
  </si>
  <si>
    <t>l-Cystine</t>
  </si>
  <si>
    <t>Biotin</t>
  </si>
  <si>
    <t>Tùng</t>
  </si>
  <si>
    <t>Máy hàn</t>
  </si>
  <si>
    <t>Pin</t>
  </si>
  <si>
    <t>Nước dưỡng tóc</t>
  </si>
  <si>
    <t>Linh tinh</t>
  </si>
  <si>
    <t>https://shopee.vn/user/purchase/order/190671768253117?type=6</t>
  </si>
  <si>
    <t>https://shopee.vn/user/purchase/order/190662355231983?type=6</t>
  </si>
  <si>
    <t>Nước tẩy trang</t>
  </si>
  <si>
    <t>Set đi chùa</t>
  </si>
  <si>
    <t>https://shopee.vn/user/purchase/order/190645677266083?type=6</t>
  </si>
  <si>
    <t>Yến xào</t>
  </si>
  <si>
    <t>Lens</t>
  </si>
  <si>
    <t>Set váy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</si>
</sst>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E590-BAB8-4BEF-B77B-15F552659D43}">
  <dimension ref="A1:G131"/>
  <sheetViews>
    <sheetView tabSelected="1" workbookViewId="0">
      <selection activeCell="L11" sqref="L11"/>
    </sheetView>
  </sheetViews>
  <sheetFormatPr defaultRowHeight="14.5" x14ac:dyDescent="0.35"/>
  <cols>
    <col min="1" max="1" width="10.08984375" bestFit="1" customWidth="1"/>
    <col min="2" max="2" width="17.26953125" bestFit="1" customWidth="1"/>
    <col min="6" max="6" width="10.453125" bestFit="1" customWidth="1"/>
    <col min="7" max="7" width="8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f>SUM(C:C)</f>
        <v>11231.969000000005</v>
      </c>
    </row>
    <row r="2" spans="1:7" x14ac:dyDescent="0.35">
      <c r="A2" s="1">
        <v>45926</v>
      </c>
      <c r="B2" t="s">
        <v>8</v>
      </c>
      <c r="C2">
        <v>164.02</v>
      </c>
      <c r="D2" t="s">
        <v>5</v>
      </c>
      <c r="F2" t="s">
        <v>11</v>
      </c>
      <c r="G2">
        <f>SUMIF(D:D, "ShopeePay", C:C)</f>
        <v>2384.35</v>
      </c>
    </row>
    <row r="3" spans="1:7" x14ac:dyDescent="0.35">
      <c r="A3" s="1">
        <v>45928</v>
      </c>
      <c r="B3" t="s">
        <v>9</v>
      </c>
      <c r="C3">
        <v>6.3</v>
      </c>
      <c r="D3" t="s">
        <v>5</v>
      </c>
      <c r="F3" t="s">
        <v>5</v>
      </c>
      <c r="G3">
        <f>SUMIF(D:D, "Thẻ tín dụng", C:C)</f>
        <v>3316.6390000000001</v>
      </c>
    </row>
    <row r="4" spans="1:7" x14ac:dyDescent="0.35">
      <c r="A4" s="1">
        <v>45927</v>
      </c>
      <c r="B4" t="s">
        <v>10</v>
      </c>
      <c r="C4">
        <v>1</v>
      </c>
      <c r="D4" t="s">
        <v>11</v>
      </c>
      <c r="F4" t="s">
        <v>6</v>
      </c>
      <c r="G4">
        <f>SUMIF(D:D, "Tiền mặt", C:C)</f>
        <v>70.531999999999996</v>
      </c>
    </row>
    <row r="5" spans="1:7" x14ac:dyDescent="0.35">
      <c r="A5" s="1">
        <v>45927</v>
      </c>
      <c r="B5" t="s">
        <v>12</v>
      </c>
      <c r="C5">
        <v>645</v>
      </c>
      <c r="D5" t="s">
        <v>5</v>
      </c>
      <c r="F5" t="s">
        <v>7</v>
      </c>
      <c r="G5">
        <f>SUMIF(D:D, "Spaylater", C:C)</f>
        <v>3216.7169999999996</v>
      </c>
    </row>
    <row r="6" spans="1:7" x14ac:dyDescent="0.35">
      <c r="A6" s="1">
        <v>45926</v>
      </c>
      <c r="B6" t="s">
        <v>13</v>
      </c>
      <c r="C6">
        <v>4</v>
      </c>
      <c r="D6" t="s">
        <v>11</v>
      </c>
      <c r="F6" t="s">
        <v>48</v>
      </c>
      <c r="G6">
        <f>SUMIF(D:D, "Spaylater", C:C)</f>
        <v>3216.7169999999996</v>
      </c>
    </row>
    <row r="7" spans="1:7" x14ac:dyDescent="0.35">
      <c r="A7" s="1">
        <v>45928</v>
      </c>
      <c r="B7" t="s">
        <v>14</v>
      </c>
      <c r="C7">
        <v>4</v>
      </c>
      <c r="D7" t="s">
        <v>11</v>
      </c>
    </row>
    <row r="8" spans="1:7" x14ac:dyDescent="0.35">
      <c r="A8" s="1">
        <v>45927</v>
      </c>
      <c r="B8" t="s">
        <v>15</v>
      </c>
      <c r="C8">
        <v>1</v>
      </c>
      <c r="D8" t="s">
        <v>5</v>
      </c>
    </row>
    <row r="9" spans="1:7" x14ac:dyDescent="0.35">
      <c r="A9" s="1">
        <v>45927</v>
      </c>
      <c r="B9" t="s">
        <v>16</v>
      </c>
      <c r="C9">
        <v>10</v>
      </c>
      <c r="D9" t="s">
        <v>5</v>
      </c>
    </row>
    <row r="10" spans="1:7" x14ac:dyDescent="0.35">
      <c r="A10" s="1">
        <v>45926</v>
      </c>
      <c r="B10" t="s">
        <v>17</v>
      </c>
      <c r="C10">
        <v>1</v>
      </c>
      <c r="D10" t="s">
        <v>11</v>
      </c>
    </row>
    <row r="11" spans="1:7" x14ac:dyDescent="0.35">
      <c r="A11" s="1">
        <v>45923</v>
      </c>
      <c r="B11" t="s">
        <v>18</v>
      </c>
      <c r="C11">
        <v>1</v>
      </c>
      <c r="D11" t="s">
        <v>11</v>
      </c>
    </row>
    <row r="12" spans="1:7" x14ac:dyDescent="0.35">
      <c r="A12" s="1">
        <v>45921</v>
      </c>
      <c r="B12" t="s">
        <v>19</v>
      </c>
      <c r="C12">
        <v>0.7</v>
      </c>
      <c r="D12" t="s">
        <v>11</v>
      </c>
    </row>
    <row r="13" spans="1:7" x14ac:dyDescent="0.35">
      <c r="A13" s="1">
        <v>45922</v>
      </c>
      <c r="B13" t="s">
        <v>20</v>
      </c>
      <c r="C13">
        <v>1</v>
      </c>
      <c r="D13" t="s">
        <v>5</v>
      </c>
    </row>
    <row r="14" spans="1:7" x14ac:dyDescent="0.35">
      <c r="A14" s="1">
        <v>45921</v>
      </c>
      <c r="B14" t="s">
        <v>21</v>
      </c>
      <c r="C14">
        <v>8.8000000000000007</v>
      </c>
      <c r="D14" t="s">
        <v>5</v>
      </c>
    </row>
    <row r="15" spans="1:7" x14ac:dyDescent="0.35">
      <c r="A15" s="1">
        <v>45917</v>
      </c>
      <c r="B15" t="s">
        <v>22</v>
      </c>
      <c r="C15">
        <v>0.3</v>
      </c>
      <c r="D15" t="s">
        <v>11</v>
      </c>
    </row>
    <row r="16" spans="1:7" x14ac:dyDescent="0.35">
      <c r="A16" s="1">
        <v>45917</v>
      </c>
      <c r="B16" t="s">
        <v>23</v>
      </c>
      <c r="C16">
        <v>35.265999999999998</v>
      </c>
      <c r="D16" t="s">
        <v>5</v>
      </c>
    </row>
    <row r="17" spans="1:4" x14ac:dyDescent="0.35">
      <c r="A17" s="1">
        <v>45917</v>
      </c>
      <c r="B17" t="s">
        <v>24</v>
      </c>
      <c r="C17">
        <v>1</v>
      </c>
      <c r="D17" t="s">
        <v>5</v>
      </c>
    </row>
    <row r="18" spans="1:4" x14ac:dyDescent="0.35">
      <c r="A18" s="1">
        <v>45914</v>
      </c>
      <c r="B18" t="s">
        <v>25</v>
      </c>
      <c r="C18">
        <v>9.9</v>
      </c>
      <c r="D18" t="s">
        <v>5</v>
      </c>
    </row>
    <row r="19" spans="1:4" x14ac:dyDescent="0.35">
      <c r="A19" s="1">
        <v>45912</v>
      </c>
      <c r="B19" t="s">
        <v>26</v>
      </c>
      <c r="C19">
        <v>1</v>
      </c>
      <c r="D19" t="s">
        <v>5</v>
      </c>
    </row>
    <row r="20" spans="1:4" x14ac:dyDescent="0.35">
      <c r="A20" s="1">
        <v>45912</v>
      </c>
      <c r="B20" t="s">
        <v>27</v>
      </c>
      <c r="C20">
        <v>0.5</v>
      </c>
      <c r="D20" t="s">
        <v>11</v>
      </c>
    </row>
    <row r="21" spans="1:4" x14ac:dyDescent="0.35">
      <c r="A21" s="1">
        <v>45912</v>
      </c>
      <c r="B21" t="s">
        <v>28</v>
      </c>
      <c r="C21">
        <v>0.9</v>
      </c>
      <c r="D21" t="s">
        <v>11</v>
      </c>
    </row>
    <row r="22" spans="1:4" x14ac:dyDescent="0.35">
      <c r="A22" s="1">
        <v>45915</v>
      </c>
      <c r="B22" t="s">
        <v>29</v>
      </c>
      <c r="C22">
        <v>1</v>
      </c>
      <c r="D22" t="s">
        <v>11</v>
      </c>
    </row>
    <row r="23" spans="1:4" x14ac:dyDescent="0.35">
      <c r="A23" s="1">
        <v>45912</v>
      </c>
      <c r="B23" t="s">
        <v>30</v>
      </c>
      <c r="C23">
        <v>1</v>
      </c>
      <c r="D23" t="s">
        <v>11</v>
      </c>
    </row>
    <row r="24" spans="1:4" x14ac:dyDescent="0.35">
      <c r="A24" s="1">
        <v>45911</v>
      </c>
      <c r="B24" t="s">
        <v>31</v>
      </c>
      <c r="C24">
        <v>1</v>
      </c>
      <c r="D24" t="s">
        <v>11</v>
      </c>
    </row>
    <row r="25" spans="1:4" x14ac:dyDescent="0.35">
      <c r="A25" s="1">
        <v>45913</v>
      </c>
      <c r="B25" t="s">
        <v>32</v>
      </c>
      <c r="C25">
        <v>1</v>
      </c>
      <c r="D25" t="s">
        <v>11</v>
      </c>
    </row>
    <row r="26" spans="1:4" x14ac:dyDescent="0.35">
      <c r="A26" s="1">
        <v>45911</v>
      </c>
      <c r="B26" t="s">
        <v>33</v>
      </c>
      <c r="C26">
        <v>1</v>
      </c>
      <c r="D26" t="s">
        <v>11</v>
      </c>
    </row>
    <row r="27" spans="1:4" x14ac:dyDescent="0.35">
      <c r="A27" s="1">
        <v>45915</v>
      </c>
      <c r="B27" t="s">
        <v>34</v>
      </c>
      <c r="C27">
        <v>1.1000000000000001</v>
      </c>
      <c r="D27" t="s">
        <v>11</v>
      </c>
    </row>
    <row r="28" spans="1:4" x14ac:dyDescent="0.35">
      <c r="A28" s="1">
        <v>45911</v>
      </c>
      <c r="B28" t="s">
        <v>35</v>
      </c>
      <c r="C28">
        <v>1</v>
      </c>
      <c r="D28" t="s">
        <v>11</v>
      </c>
    </row>
    <row r="29" spans="1:4" x14ac:dyDescent="0.35">
      <c r="A29" s="1">
        <v>45904</v>
      </c>
      <c r="B29" t="s">
        <v>36</v>
      </c>
      <c r="C29">
        <v>1</v>
      </c>
      <c r="D29" t="s">
        <v>11</v>
      </c>
    </row>
    <row r="30" spans="1:4" x14ac:dyDescent="0.35">
      <c r="A30" s="1">
        <v>45921</v>
      </c>
      <c r="B30" t="s">
        <v>37</v>
      </c>
      <c r="C30">
        <v>11.52</v>
      </c>
      <c r="D30" t="s">
        <v>7</v>
      </c>
    </row>
    <row r="31" spans="1:4" x14ac:dyDescent="0.35">
      <c r="A31" s="1">
        <v>45905</v>
      </c>
      <c r="B31" t="s">
        <v>38</v>
      </c>
      <c r="C31">
        <v>0.86</v>
      </c>
      <c r="D31" t="s">
        <v>7</v>
      </c>
    </row>
    <row r="32" spans="1:4" x14ac:dyDescent="0.35">
      <c r="A32" s="1">
        <v>45903</v>
      </c>
      <c r="B32" t="s">
        <v>39</v>
      </c>
      <c r="C32">
        <v>27.94</v>
      </c>
      <c r="D32" t="s">
        <v>7</v>
      </c>
    </row>
    <row r="33" spans="1:4" x14ac:dyDescent="0.35">
      <c r="A33" s="1">
        <v>45905</v>
      </c>
      <c r="B33" t="s">
        <v>40</v>
      </c>
      <c r="C33">
        <v>43.345999999999997</v>
      </c>
      <c r="D33" t="s">
        <v>7</v>
      </c>
    </row>
    <row r="34" spans="1:4" x14ac:dyDescent="0.35">
      <c r="A34" s="1">
        <v>45905</v>
      </c>
      <c r="B34" t="s">
        <v>41</v>
      </c>
      <c r="C34">
        <v>21.672999999999998</v>
      </c>
      <c r="D34" t="s">
        <v>7</v>
      </c>
    </row>
    <row r="35" spans="1:4" x14ac:dyDescent="0.35">
      <c r="A35" s="1">
        <v>45907</v>
      </c>
      <c r="B35" t="s">
        <v>42</v>
      </c>
      <c r="C35">
        <v>1</v>
      </c>
      <c r="D35" t="s">
        <v>11</v>
      </c>
    </row>
    <row r="36" spans="1:4" x14ac:dyDescent="0.35">
      <c r="A36" s="1">
        <v>45903</v>
      </c>
      <c r="B36" t="s">
        <v>43</v>
      </c>
      <c r="C36">
        <v>1</v>
      </c>
      <c r="D36" t="s">
        <v>11</v>
      </c>
    </row>
    <row r="37" spans="1:4" x14ac:dyDescent="0.35">
      <c r="A37" s="1">
        <v>45906</v>
      </c>
      <c r="B37" t="s">
        <v>44</v>
      </c>
      <c r="C37">
        <v>3.5</v>
      </c>
      <c r="D37" t="s">
        <v>11</v>
      </c>
    </row>
    <row r="38" spans="1:4" x14ac:dyDescent="0.35">
      <c r="A38" s="1">
        <v>45905</v>
      </c>
      <c r="B38" t="s">
        <v>23</v>
      </c>
      <c r="C38">
        <v>35.265999999999998</v>
      </c>
      <c r="D38" t="s">
        <v>6</v>
      </c>
    </row>
    <row r="39" spans="1:4" x14ac:dyDescent="0.35">
      <c r="A39" s="1">
        <v>45903</v>
      </c>
      <c r="B39" t="s">
        <v>45</v>
      </c>
      <c r="C39">
        <v>1</v>
      </c>
      <c r="D39" t="s">
        <v>11</v>
      </c>
    </row>
    <row r="40" spans="1:4" x14ac:dyDescent="0.35">
      <c r="A40" s="1">
        <v>45903</v>
      </c>
      <c r="B40" t="s">
        <v>24</v>
      </c>
      <c r="C40">
        <v>1</v>
      </c>
      <c r="D40" t="s">
        <v>11</v>
      </c>
    </row>
    <row r="41" spans="1:4" x14ac:dyDescent="0.35">
      <c r="A41" s="1">
        <v>45896</v>
      </c>
      <c r="B41" t="s">
        <v>46</v>
      </c>
      <c r="C41">
        <v>0.4</v>
      </c>
      <c r="D41" t="s">
        <v>11</v>
      </c>
    </row>
    <row r="42" spans="1:4" x14ac:dyDescent="0.35">
      <c r="A42" s="1">
        <v>45896</v>
      </c>
      <c r="B42" t="s">
        <v>47</v>
      </c>
      <c r="C42">
        <v>40.249000000000002</v>
      </c>
      <c r="D42" t="s">
        <v>48</v>
      </c>
    </row>
    <row r="43" spans="1:4" x14ac:dyDescent="0.35">
      <c r="A43" s="1">
        <v>45895</v>
      </c>
      <c r="B43" t="s">
        <v>49</v>
      </c>
      <c r="C43">
        <v>1.5</v>
      </c>
      <c r="D43" t="s">
        <v>11</v>
      </c>
    </row>
    <row r="44" spans="1:4" x14ac:dyDescent="0.35">
      <c r="A44" s="1">
        <v>45895</v>
      </c>
      <c r="B44" t="s">
        <v>49</v>
      </c>
      <c r="C44">
        <v>1.1000000000000001</v>
      </c>
      <c r="D44" t="s">
        <v>11</v>
      </c>
    </row>
    <row r="45" spans="1:4" x14ac:dyDescent="0.35">
      <c r="A45" s="1">
        <v>45895</v>
      </c>
      <c r="B45" t="s">
        <v>23</v>
      </c>
      <c r="C45">
        <v>35.265999999999998</v>
      </c>
      <c r="D45" t="s">
        <v>6</v>
      </c>
    </row>
    <row r="46" spans="1:4" x14ac:dyDescent="0.35">
      <c r="A46" s="1">
        <v>45885</v>
      </c>
      <c r="B46" t="s">
        <v>50</v>
      </c>
      <c r="C46">
        <v>0.59299999999999997</v>
      </c>
      <c r="D46" t="s">
        <v>11</v>
      </c>
    </row>
    <row r="47" spans="1:4" x14ac:dyDescent="0.35">
      <c r="A47" s="1">
        <v>45885</v>
      </c>
      <c r="B47" t="s">
        <v>50</v>
      </c>
      <c r="C47">
        <v>0.59299999999999997</v>
      </c>
      <c r="D47" t="s">
        <v>11</v>
      </c>
    </row>
    <row r="48" spans="1:4" x14ac:dyDescent="0.35">
      <c r="A48" s="1">
        <v>45889</v>
      </c>
      <c r="B48" t="s">
        <v>51</v>
      </c>
      <c r="C48">
        <v>68.900000000000006</v>
      </c>
      <c r="D48" t="s">
        <v>7</v>
      </c>
    </row>
    <row r="49" spans="1:4" x14ac:dyDescent="0.35">
      <c r="A49" s="1">
        <v>45885</v>
      </c>
      <c r="B49" t="s">
        <v>50</v>
      </c>
      <c r="C49">
        <v>0.59299999999999997</v>
      </c>
      <c r="D49" t="s">
        <v>7</v>
      </c>
    </row>
    <row r="50" spans="1:4" x14ac:dyDescent="0.35">
      <c r="A50" s="1">
        <v>45885</v>
      </c>
      <c r="B50" t="s">
        <v>52</v>
      </c>
      <c r="C50">
        <v>0.7</v>
      </c>
      <c r="D50" t="s">
        <v>11</v>
      </c>
    </row>
    <row r="51" spans="1:4" x14ac:dyDescent="0.35">
      <c r="A51" s="1">
        <v>45885</v>
      </c>
      <c r="B51" t="s">
        <v>52</v>
      </c>
      <c r="C51">
        <v>0.4</v>
      </c>
      <c r="D51" t="s">
        <v>11</v>
      </c>
    </row>
    <row r="52" spans="1:4" x14ac:dyDescent="0.35">
      <c r="A52" s="1">
        <v>45883</v>
      </c>
      <c r="B52" t="s">
        <v>53</v>
      </c>
      <c r="C52">
        <v>25.52</v>
      </c>
      <c r="D52" t="s">
        <v>7</v>
      </c>
    </row>
    <row r="53" spans="1:4" x14ac:dyDescent="0.35">
      <c r="A53" s="1">
        <v>45883</v>
      </c>
      <c r="B53" t="s">
        <v>54</v>
      </c>
      <c r="C53">
        <v>15.2</v>
      </c>
      <c r="D53" t="s">
        <v>7</v>
      </c>
    </row>
    <row r="54" spans="1:4" x14ac:dyDescent="0.35">
      <c r="A54" s="1">
        <v>45881</v>
      </c>
      <c r="B54" t="s">
        <v>55</v>
      </c>
      <c r="C54">
        <v>12.32</v>
      </c>
      <c r="D54" t="s">
        <v>7</v>
      </c>
    </row>
    <row r="55" spans="1:4" x14ac:dyDescent="0.35">
      <c r="A55" s="1">
        <v>45880</v>
      </c>
      <c r="B55" t="s">
        <v>50</v>
      </c>
      <c r="C55">
        <v>0.5</v>
      </c>
      <c r="D55" t="s">
        <v>11</v>
      </c>
    </row>
    <row r="56" spans="1:4" x14ac:dyDescent="0.35">
      <c r="A56" s="1">
        <v>45880</v>
      </c>
      <c r="B56" t="s">
        <v>50</v>
      </c>
      <c r="C56">
        <v>0.18</v>
      </c>
      <c r="D56" t="s">
        <v>11</v>
      </c>
    </row>
    <row r="57" spans="1:4" x14ac:dyDescent="0.35">
      <c r="A57" s="1">
        <v>45880</v>
      </c>
      <c r="B57" t="s">
        <v>50</v>
      </c>
      <c r="C57">
        <v>0.35599999999999998</v>
      </c>
      <c r="D57" t="s">
        <v>11</v>
      </c>
    </row>
    <row r="58" spans="1:4" x14ac:dyDescent="0.35">
      <c r="A58" s="1">
        <v>45880</v>
      </c>
      <c r="B58" t="s">
        <v>56</v>
      </c>
      <c r="C58">
        <v>0.23400000000000001</v>
      </c>
      <c r="D58" t="s">
        <v>11</v>
      </c>
    </row>
    <row r="59" spans="1:4" x14ac:dyDescent="0.35">
      <c r="A59" s="1">
        <v>45880</v>
      </c>
      <c r="B59" t="s">
        <v>57</v>
      </c>
      <c r="C59">
        <v>1</v>
      </c>
      <c r="D59" t="s">
        <v>11</v>
      </c>
    </row>
    <row r="60" spans="1:4" x14ac:dyDescent="0.35">
      <c r="A60" s="1">
        <v>45880</v>
      </c>
      <c r="B60" t="s">
        <v>58</v>
      </c>
      <c r="C60">
        <v>2.5</v>
      </c>
      <c r="D60" t="s">
        <v>11</v>
      </c>
    </row>
    <row r="61" spans="1:4" x14ac:dyDescent="0.35">
      <c r="A61" s="1">
        <v>45878</v>
      </c>
      <c r="B61" t="s">
        <v>59</v>
      </c>
      <c r="C61">
        <v>2.1930000000000001</v>
      </c>
      <c r="D61" t="s">
        <v>11</v>
      </c>
    </row>
    <row r="62" spans="1:4" x14ac:dyDescent="0.35">
      <c r="A62" s="1">
        <v>45878</v>
      </c>
      <c r="B62" t="s">
        <v>59</v>
      </c>
      <c r="C62">
        <v>2.1930000000000001</v>
      </c>
      <c r="D62" t="s">
        <v>11</v>
      </c>
    </row>
    <row r="63" spans="1:4" x14ac:dyDescent="0.35">
      <c r="A63" s="1">
        <v>45876</v>
      </c>
      <c r="B63" t="s">
        <v>60</v>
      </c>
      <c r="C63">
        <v>18.797000000000001</v>
      </c>
      <c r="D63" t="s">
        <v>7</v>
      </c>
    </row>
    <row r="64" spans="1:4" x14ac:dyDescent="0.35">
      <c r="A64" s="1">
        <v>45877</v>
      </c>
      <c r="B64" t="s">
        <v>61</v>
      </c>
      <c r="C64">
        <v>17.920000000000002</v>
      </c>
      <c r="D64" t="s">
        <v>7</v>
      </c>
    </row>
    <row r="65" spans="1:5" x14ac:dyDescent="0.35">
      <c r="A65" s="1">
        <v>45873</v>
      </c>
      <c r="B65" t="s">
        <v>62</v>
      </c>
      <c r="C65">
        <v>204.6</v>
      </c>
      <c r="D65" t="s">
        <v>7</v>
      </c>
    </row>
    <row r="66" spans="1:5" x14ac:dyDescent="0.35">
      <c r="A66" s="1">
        <v>45871</v>
      </c>
      <c r="B66" t="s">
        <v>63</v>
      </c>
      <c r="C66">
        <v>53.043999999999997</v>
      </c>
      <c r="D66" t="s">
        <v>7</v>
      </c>
    </row>
    <row r="67" spans="1:5" x14ac:dyDescent="0.35">
      <c r="A67" s="1">
        <v>45871</v>
      </c>
      <c r="B67" t="s">
        <v>64</v>
      </c>
      <c r="C67">
        <v>15.547000000000001</v>
      </c>
      <c r="D67" t="s">
        <v>7</v>
      </c>
    </row>
    <row r="68" spans="1:5" x14ac:dyDescent="0.35">
      <c r="A68" s="1">
        <v>45866</v>
      </c>
      <c r="B68" t="s">
        <v>65</v>
      </c>
      <c r="C68">
        <v>114.828</v>
      </c>
      <c r="D68" t="s">
        <v>7</v>
      </c>
    </row>
    <row r="69" spans="1:5" x14ac:dyDescent="0.35">
      <c r="A69" s="1">
        <v>45864</v>
      </c>
      <c r="B69" t="s">
        <v>66</v>
      </c>
      <c r="C69">
        <v>78.088999999999999</v>
      </c>
      <c r="D69" t="s">
        <v>7</v>
      </c>
      <c r="E69" t="s">
        <v>67</v>
      </c>
    </row>
    <row r="70" spans="1:5" x14ac:dyDescent="0.35">
      <c r="A70" s="1">
        <v>45869</v>
      </c>
      <c r="B70" t="s">
        <v>68</v>
      </c>
      <c r="C70">
        <v>47.978999999999999</v>
      </c>
      <c r="D70" t="s">
        <v>48</v>
      </c>
    </row>
    <row r="71" spans="1:5" x14ac:dyDescent="0.35">
      <c r="A71" s="1">
        <v>45867</v>
      </c>
      <c r="B71" t="s">
        <v>69</v>
      </c>
      <c r="C71">
        <v>21.620999999999999</v>
      </c>
      <c r="D71" t="s">
        <v>48</v>
      </c>
    </row>
    <row r="72" spans="1:5" x14ac:dyDescent="0.35">
      <c r="A72" s="1">
        <v>45865</v>
      </c>
      <c r="B72" t="s">
        <v>70</v>
      </c>
      <c r="C72">
        <v>179.999</v>
      </c>
      <c r="D72" t="s">
        <v>7</v>
      </c>
    </row>
    <row r="73" spans="1:5" x14ac:dyDescent="0.35">
      <c r="A73" s="1">
        <v>45866</v>
      </c>
      <c r="B73" t="s">
        <v>52</v>
      </c>
      <c r="C73">
        <v>27.800999999999998</v>
      </c>
      <c r="D73" t="s">
        <v>7</v>
      </c>
    </row>
    <row r="74" spans="1:5" x14ac:dyDescent="0.35">
      <c r="A74" s="1">
        <v>45866</v>
      </c>
      <c r="B74" t="s">
        <v>51</v>
      </c>
      <c r="C74">
        <v>62.03</v>
      </c>
      <c r="D74" t="s">
        <v>7</v>
      </c>
    </row>
    <row r="75" spans="1:5" x14ac:dyDescent="0.35">
      <c r="A75" s="1">
        <v>45865</v>
      </c>
      <c r="B75" t="s">
        <v>23</v>
      </c>
      <c r="C75">
        <v>35.313000000000002</v>
      </c>
      <c r="D75" t="s">
        <v>7</v>
      </c>
    </row>
    <row r="76" spans="1:5" x14ac:dyDescent="0.35">
      <c r="A76" s="1">
        <v>45865</v>
      </c>
      <c r="B76" t="s">
        <v>71</v>
      </c>
      <c r="C76">
        <v>10.347</v>
      </c>
      <c r="D76" t="s">
        <v>7</v>
      </c>
    </row>
    <row r="77" spans="1:5" x14ac:dyDescent="0.35">
      <c r="A77" s="1">
        <v>45864</v>
      </c>
      <c r="B77" t="s">
        <v>72</v>
      </c>
      <c r="C77">
        <v>59.5</v>
      </c>
      <c r="D77" t="s">
        <v>48</v>
      </c>
    </row>
    <row r="78" spans="1:5" x14ac:dyDescent="0.35">
      <c r="A78" s="1">
        <v>45865</v>
      </c>
      <c r="B78" t="s">
        <v>73</v>
      </c>
      <c r="C78">
        <v>38.674999999999997</v>
      </c>
      <c r="D78" t="s">
        <v>48</v>
      </c>
    </row>
    <row r="79" spans="1:5" x14ac:dyDescent="0.35">
      <c r="A79" s="1">
        <v>45854</v>
      </c>
      <c r="B79" t="s">
        <v>74</v>
      </c>
      <c r="C79">
        <v>205.90700000000001</v>
      </c>
      <c r="D79" t="s">
        <v>7</v>
      </c>
    </row>
    <row r="80" spans="1:5" x14ac:dyDescent="0.35">
      <c r="A80" s="1">
        <v>45851</v>
      </c>
      <c r="B80" t="s">
        <v>75</v>
      </c>
      <c r="C80">
        <v>52.5</v>
      </c>
      <c r="D80" t="s">
        <v>7</v>
      </c>
    </row>
    <row r="81" spans="1:5" x14ac:dyDescent="0.35">
      <c r="A81" s="1">
        <v>45851</v>
      </c>
      <c r="B81" t="s">
        <v>76</v>
      </c>
      <c r="C81">
        <v>337.9</v>
      </c>
      <c r="D81" t="s">
        <v>48</v>
      </c>
    </row>
    <row r="82" spans="1:5" x14ac:dyDescent="0.35">
      <c r="A82" s="1">
        <v>45851</v>
      </c>
      <c r="B82" t="s">
        <v>77</v>
      </c>
      <c r="C82">
        <v>18.512</v>
      </c>
      <c r="D82" t="s">
        <v>7</v>
      </c>
    </row>
    <row r="83" spans="1:5" x14ac:dyDescent="0.35">
      <c r="A83" s="1">
        <v>45849</v>
      </c>
      <c r="B83" t="s">
        <v>12</v>
      </c>
      <c r="C83">
        <v>612.19000000000005</v>
      </c>
      <c r="D83" t="s">
        <v>7</v>
      </c>
    </row>
    <row r="84" spans="1:5" x14ac:dyDescent="0.35">
      <c r="A84" s="1">
        <v>45849</v>
      </c>
      <c r="B84" t="s">
        <v>56</v>
      </c>
      <c r="C84">
        <v>4.468</v>
      </c>
      <c r="D84" t="s">
        <v>7</v>
      </c>
    </row>
    <row r="85" spans="1:5" x14ac:dyDescent="0.35">
      <c r="A85" s="1">
        <v>45849</v>
      </c>
      <c r="B85" t="s">
        <v>23</v>
      </c>
      <c r="C85">
        <v>65.174000000000007</v>
      </c>
      <c r="D85" t="s">
        <v>7</v>
      </c>
    </row>
    <row r="86" spans="1:5" x14ac:dyDescent="0.35">
      <c r="A86" s="1">
        <v>45850</v>
      </c>
      <c r="B86" t="s">
        <v>78</v>
      </c>
      <c r="C86">
        <v>17.253</v>
      </c>
      <c r="D86" t="s">
        <v>7</v>
      </c>
    </row>
    <row r="87" spans="1:5" x14ac:dyDescent="0.35">
      <c r="A87" s="1">
        <v>45851</v>
      </c>
      <c r="B87" t="s">
        <v>73</v>
      </c>
      <c r="C87">
        <v>44.472000000000001</v>
      </c>
      <c r="D87" t="s">
        <v>7</v>
      </c>
    </row>
    <row r="88" spans="1:5" x14ac:dyDescent="0.35">
      <c r="A88" s="1">
        <v>45851</v>
      </c>
      <c r="B88" t="s">
        <v>79</v>
      </c>
      <c r="C88">
        <v>85.876999999999995</v>
      </c>
      <c r="D88" t="s">
        <v>7</v>
      </c>
      <c r="E88" t="s">
        <v>80</v>
      </c>
    </row>
    <row r="89" spans="1:5" x14ac:dyDescent="0.35">
      <c r="A89" s="1">
        <v>45850</v>
      </c>
      <c r="B89" t="s">
        <v>81</v>
      </c>
      <c r="C89">
        <v>88.933000000000007</v>
      </c>
      <c r="D89" t="s">
        <v>7</v>
      </c>
    </row>
    <row r="90" spans="1:5" x14ac:dyDescent="0.35">
      <c r="A90" s="1">
        <v>45848</v>
      </c>
      <c r="B90" t="s">
        <v>82</v>
      </c>
      <c r="C90">
        <v>39.515000000000001</v>
      </c>
      <c r="D90" t="s">
        <v>7</v>
      </c>
    </row>
    <row r="91" spans="1:5" x14ac:dyDescent="0.35">
      <c r="A91" s="1">
        <v>45849</v>
      </c>
      <c r="B91" t="s">
        <v>83</v>
      </c>
      <c r="C91">
        <v>9.3089999999999993</v>
      </c>
      <c r="D91" t="s">
        <v>7</v>
      </c>
    </row>
    <row r="92" spans="1:5" x14ac:dyDescent="0.35">
      <c r="A92" s="1">
        <v>45846</v>
      </c>
      <c r="B92" t="s">
        <v>84</v>
      </c>
      <c r="C92">
        <v>652</v>
      </c>
      <c r="D92" t="s">
        <v>7</v>
      </c>
    </row>
    <row r="93" spans="1:5" x14ac:dyDescent="0.35">
      <c r="A93" s="1">
        <v>45846</v>
      </c>
      <c r="B93" t="s">
        <v>85</v>
      </c>
      <c r="C93">
        <v>55.2</v>
      </c>
      <c r="D93" t="s">
        <v>7</v>
      </c>
    </row>
    <row r="94" spans="1:5" x14ac:dyDescent="0.35">
      <c r="A94" s="1">
        <v>45848</v>
      </c>
      <c r="B94" t="s">
        <v>86</v>
      </c>
      <c r="C94">
        <v>12</v>
      </c>
      <c r="D94" t="s">
        <v>7</v>
      </c>
    </row>
    <row r="95" spans="1:5" x14ac:dyDescent="0.35">
      <c r="A95" s="1">
        <v>45848</v>
      </c>
      <c r="B95" t="s">
        <v>87</v>
      </c>
      <c r="C95">
        <v>32.72</v>
      </c>
      <c r="D95" t="s">
        <v>7</v>
      </c>
    </row>
    <row r="96" spans="1:5" x14ac:dyDescent="0.35">
      <c r="A96" s="1">
        <v>45849</v>
      </c>
      <c r="B96" t="s">
        <v>88</v>
      </c>
      <c r="C96">
        <v>64.5</v>
      </c>
      <c r="D96" t="s">
        <v>7</v>
      </c>
    </row>
    <row r="97" spans="1:5" x14ac:dyDescent="0.35">
      <c r="A97" s="1">
        <v>45836</v>
      </c>
      <c r="B97" t="s">
        <v>88</v>
      </c>
      <c r="C97">
        <v>48</v>
      </c>
      <c r="D97" t="s">
        <v>48</v>
      </c>
    </row>
    <row r="98" spans="1:5" x14ac:dyDescent="0.35">
      <c r="A98" s="1">
        <v>45818</v>
      </c>
      <c r="B98" t="s">
        <v>89</v>
      </c>
      <c r="C98">
        <v>191.25</v>
      </c>
      <c r="D98" t="s">
        <v>11</v>
      </c>
    </row>
    <row r="99" spans="1:5" x14ac:dyDescent="0.35">
      <c r="A99" s="1">
        <v>45816</v>
      </c>
      <c r="B99" t="s">
        <v>84</v>
      </c>
      <c r="C99">
        <v>562.5</v>
      </c>
      <c r="D99" t="s">
        <v>11</v>
      </c>
    </row>
    <row r="100" spans="1:5" x14ac:dyDescent="0.35">
      <c r="A100" s="1">
        <v>45816</v>
      </c>
      <c r="B100" t="s">
        <v>90</v>
      </c>
      <c r="C100">
        <v>13.5</v>
      </c>
      <c r="D100" t="s">
        <v>11</v>
      </c>
    </row>
    <row r="101" spans="1:5" x14ac:dyDescent="0.35">
      <c r="A101" s="1">
        <v>45814</v>
      </c>
      <c r="B101" t="s">
        <v>91</v>
      </c>
      <c r="C101">
        <v>135.36199999999999</v>
      </c>
      <c r="D101" t="s">
        <v>11</v>
      </c>
    </row>
    <row r="102" spans="1:5" x14ac:dyDescent="0.35">
      <c r="A102" s="1">
        <v>45816</v>
      </c>
      <c r="B102" t="s">
        <v>92</v>
      </c>
      <c r="C102">
        <v>224.25</v>
      </c>
      <c r="D102" t="s">
        <v>11</v>
      </c>
    </row>
    <row r="103" spans="1:5" x14ac:dyDescent="0.35">
      <c r="A103" s="1">
        <v>45817</v>
      </c>
      <c r="B103" t="s">
        <v>93</v>
      </c>
      <c r="C103">
        <v>59.85</v>
      </c>
      <c r="D103" t="s">
        <v>11</v>
      </c>
    </row>
    <row r="104" spans="1:5" x14ac:dyDescent="0.35">
      <c r="A104" s="1">
        <v>45816</v>
      </c>
      <c r="B104" t="s">
        <v>86</v>
      </c>
      <c r="C104">
        <v>21</v>
      </c>
      <c r="D104" t="s">
        <v>11</v>
      </c>
    </row>
    <row r="105" spans="1:5" x14ac:dyDescent="0.35">
      <c r="A105" s="1">
        <v>45816</v>
      </c>
      <c r="B105" t="s">
        <v>94</v>
      </c>
      <c r="C105">
        <v>258.29899999999998</v>
      </c>
      <c r="D105" t="s">
        <v>11</v>
      </c>
    </row>
    <row r="106" spans="1:5" x14ac:dyDescent="0.35">
      <c r="A106" s="1">
        <v>45799</v>
      </c>
      <c r="B106" t="s">
        <v>66</v>
      </c>
      <c r="C106">
        <v>27.003</v>
      </c>
      <c r="D106" t="s">
        <v>11</v>
      </c>
    </row>
    <row r="107" spans="1:5" x14ac:dyDescent="0.35">
      <c r="A107" s="1">
        <v>45782</v>
      </c>
      <c r="B107" t="s">
        <v>95</v>
      </c>
      <c r="C107">
        <v>100.05</v>
      </c>
      <c r="D107" t="s">
        <v>48</v>
      </c>
    </row>
    <row r="108" spans="1:5" x14ac:dyDescent="0.35">
      <c r="A108" s="1">
        <v>45775</v>
      </c>
      <c r="B108" t="s">
        <v>96</v>
      </c>
      <c r="C108">
        <v>91.84</v>
      </c>
      <c r="D108" t="s">
        <v>11</v>
      </c>
    </row>
    <row r="109" spans="1:5" x14ac:dyDescent="0.35">
      <c r="A109" s="1">
        <v>45773</v>
      </c>
      <c r="B109" t="s">
        <v>97</v>
      </c>
      <c r="C109">
        <v>4</v>
      </c>
      <c r="D109" t="s">
        <v>11</v>
      </c>
    </row>
    <row r="110" spans="1:5" x14ac:dyDescent="0.35">
      <c r="A110" s="1">
        <v>45759</v>
      </c>
      <c r="B110" t="s">
        <v>98</v>
      </c>
      <c r="C110">
        <v>374</v>
      </c>
      <c r="D110" t="s">
        <v>11</v>
      </c>
    </row>
    <row r="111" spans="1:5" x14ac:dyDescent="0.35">
      <c r="A111" s="1">
        <v>45760</v>
      </c>
      <c r="B111" t="s">
        <v>92</v>
      </c>
      <c r="C111">
        <v>132</v>
      </c>
      <c r="D111" t="s">
        <v>11</v>
      </c>
    </row>
    <row r="112" spans="1:5" x14ac:dyDescent="0.35">
      <c r="A112" s="1">
        <v>45758</v>
      </c>
      <c r="B112" t="s">
        <v>99</v>
      </c>
      <c r="C112">
        <v>88</v>
      </c>
      <c r="D112" t="s">
        <v>11</v>
      </c>
      <c r="E112" t="s">
        <v>100</v>
      </c>
    </row>
    <row r="113" spans="1:5" x14ac:dyDescent="0.35">
      <c r="A113" s="1">
        <v>45752</v>
      </c>
      <c r="B113" t="s">
        <v>101</v>
      </c>
      <c r="C113">
        <v>110</v>
      </c>
      <c r="D113" t="s">
        <v>7</v>
      </c>
    </row>
    <row r="114" spans="1:5" x14ac:dyDescent="0.35">
      <c r="A114" s="1">
        <v>45752</v>
      </c>
      <c r="B114" t="s">
        <v>40</v>
      </c>
      <c r="C114">
        <v>95.274000000000001</v>
      </c>
      <c r="D114" t="s">
        <v>5</v>
      </c>
    </row>
    <row r="115" spans="1:5" x14ac:dyDescent="0.35">
      <c r="A115" s="1">
        <v>45721</v>
      </c>
      <c r="B115" t="s">
        <v>102</v>
      </c>
      <c r="C115">
        <v>38.905999999999999</v>
      </c>
      <c r="D115" t="s">
        <v>5</v>
      </c>
    </row>
    <row r="116" spans="1:5" x14ac:dyDescent="0.35">
      <c r="A116" s="1">
        <v>45721</v>
      </c>
      <c r="B116" t="s">
        <v>103</v>
      </c>
      <c r="C116">
        <v>74.631</v>
      </c>
      <c r="D116" t="s">
        <v>5</v>
      </c>
    </row>
    <row r="117" spans="1:5" x14ac:dyDescent="0.35">
      <c r="A117" s="1">
        <v>45721</v>
      </c>
      <c r="B117" t="s">
        <v>104</v>
      </c>
      <c r="C117">
        <v>63.515999999999998</v>
      </c>
      <c r="D117" t="s">
        <v>5</v>
      </c>
    </row>
    <row r="118" spans="1:5" x14ac:dyDescent="0.35">
      <c r="A118" s="1">
        <v>45721</v>
      </c>
      <c r="B118" t="s">
        <v>105</v>
      </c>
      <c r="C118">
        <v>102.023</v>
      </c>
      <c r="D118" t="s">
        <v>5</v>
      </c>
    </row>
    <row r="119" spans="1:5" x14ac:dyDescent="0.35">
      <c r="A119" s="1">
        <v>45721</v>
      </c>
      <c r="B119" t="s">
        <v>106</v>
      </c>
      <c r="C119">
        <v>1199.2</v>
      </c>
      <c r="D119" t="s">
        <v>5</v>
      </c>
    </row>
    <row r="120" spans="1:5" x14ac:dyDescent="0.35">
      <c r="A120" s="1">
        <v>45728</v>
      </c>
      <c r="B120" t="s">
        <v>107</v>
      </c>
      <c r="C120">
        <v>319.50599999999997</v>
      </c>
      <c r="D120" t="s">
        <v>48</v>
      </c>
    </row>
    <row r="121" spans="1:5" x14ac:dyDescent="0.35">
      <c r="A121" s="1">
        <v>45695</v>
      </c>
      <c r="B121" t="s">
        <v>108</v>
      </c>
      <c r="C121">
        <v>122.02500000000001</v>
      </c>
      <c r="D121" t="s">
        <v>48</v>
      </c>
    </row>
    <row r="122" spans="1:5" x14ac:dyDescent="0.35">
      <c r="A122" s="1">
        <v>45707</v>
      </c>
      <c r="B122" t="s">
        <v>109</v>
      </c>
      <c r="C122">
        <v>73.718000000000004</v>
      </c>
      <c r="D122" t="s">
        <v>48</v>
      </c>
      <c r="E122" t="s">
        <v>110</v>
      </c>
    </row>
    <row r="123" spans="1:5" x14ac:dyDescent="0.35">
      <c r="A123" s="1">
        <v>45674</v>
      </c>
      <c r="B123" t="s">
        <v>112</v>
      </c>
      <c r="C123">
        <v>131.209</v>
      </c>
      <c r="D123" t="s">
        <v>48</v>
      </c>
      <c r="E123" t="s">
        <v>111</v>
      </c>
    </row>
    <row r="124" spans="1:5" x14ac:dyDescent="0.35">
      <c r="A124" s="1">
        <v>45677</v>
      </c>
      <c r="B124" t="s">
        <v>107</v>
      </c>
      <c r="C124">
        <v>339.50900000000001</v>
      </c>
      <c r="D124" t="s">
        <v>48</v>
      </c>
    </row>
    <row r="125" spans="1:5" x14ac:dyDescent="0.35">
      <c r="A125" s="1">
        <v>45674</v>
      </c>
      <c r="B125" t="s">
        <v>113</v>
      </c>
      <c r="C125">
        <v>204.65199999999999</v>
      </c>
      <c r="D125" t="s">
        <v>48</v>
      </c>
      <c r="E125" t="s">
        <v>114</v>
      </c>
    </row>
    <row r="126" spans="1:5" x14ac:dyDescent="0.35">
      <c r="A126" s="1">
        <v>45675</v>
      </c>
      <c r="B126" t="s">
        <v>107</v>
      </c>
      <c r="C126">
        <v>258.13799999999998</v>
      </c>
      <c r="D126" t="s">
        <v>48</v>
      </c>
    </row>
    <row r="127" spans="1:5" x14ac:dyDescent="0.35">
      <c r="A127" s="1">
        <v>45673</v>
      </c>
      <c r="B127" t="s">
        <v>115</v>
      </c>
      <c r="C127">
        <v>737.6</v>
      </c>
      <c r="D127" t="s">
        <v>5</v>
      </c>
    </row>
    <row r="128" spans="1:5" x14ac:dyDescent="0.35">
      <c r="A128" s="1">
        <v>45667</v>
      </c>
      <c r="B128" t="s">
        <v>116</v>
      </c>
      <c r="C128">
        <v>101</v>
      </c>
      <c r="D128" t="s">
        <v>48</v>
      </c>
    </row>
    <row r="129" spans="1:4" x14ac:dyDescent="0.35">
      <c r="A129" s="1">
        <v>45667</v>
      </c>
      <c r="B129" t="s">
        <v>95</v>
      </c>
      <c r="C129">
        <v>90.5</v>
      </c>
      <c r="D129" t="s">
        <v>11</v>
      </c>
    </row>
    <row r="130" spans="1:4" x14ac:dyDescent="0.35">
      <c r="A130" s="1">
        <v>45667</v>
      </c>
      <c r="B130" t="s">
        <v>109</v>
      </c>
      <c r="C130">
        <v>67.554000000000002</v>
      </c>
      <c r="D130" t="s">
        <v>11</v>
      </c>
    </row>
    <row r="131" spans="1:4" x14ac:dyDescent="0.35">
      <c r="A131" s="1">
        <v>45668</v>
      </c>
      <c r="B131" t="s">
        <v>117</v>
      </c>
      <c r="C131">
        <v>122.203</v>
      </c>
      <c r="D1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FECredit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Van Nguyen</dc:creator>
  <cp:lastModifiedBy>Thanh Nguyen Van Nguyen</cp:lastModifiedBy>
  <dcterms:created xsi:type="dcterms:W3CDTF">2026-04-08T02:32:13Z</dcterms:created>
  <dcterms:modified xsi:type="dcterms:W3CDTF">2026-04-08T04:03:13Z</dcterms:modified>
</cp:coreProperties>
</file>